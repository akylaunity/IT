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0936" windowHeight="9012" activeTab="1"/>
  </bookViews>
  <sheets>
    <sheet name="Математика" sheetId="1" r:id="rId1"/>
    <sheet name="Финансы" sheetId="2" r:id="rId2"/>
    <sheet name="Тригонометрия" sheetId="3" r:id="rId3"/>
    <sheet name="Итоги" sheetId="4" r:id="rId4"/>
    <sheet name="Кредит" sheetId="5" r:id="rId5"/>
  </sheets>
  <calcPr calcId="162913"/>
</workbook>
</file>

<file path=xl/calcChain.xml><?xml version="1.0" encoding="utf-8"?>
<calcChain xmlns="http://schemas.openxmlformats.org/spreadsheetml/2006/main">
  <c r="B8" i="5" l="1"/>
  <c r="B10" i="5" s="1"/>
  <c r="B11" i="5" s="1"/>
  <c r="B12" i="5" s="1"/>
  <c r="B7" i="5"/>
  <c r="B10" i="4"/>
  <c r="B9" i="4"/>
  <c r="B8" i="4"/>
  <c r="B7" i="4"/>
  <c r="B6" i="4"/>
  <c r="B5" i="4"/>
  <c r="B4" i="4"/>
  <c r="B15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B12" i="2"/>
  <c r="B11" i="2"/>
  <c r="B9" i="2"/>
  <c r="B8" i="2"/>
  <c r="I11" i="1"/>
  <c r="G11" i="1"/>
  <c r="H11" i="1" s="1"/>
  <c r="F11" i="1"/>
  <c r="I10" i="1"/>
  <c r="G10" i="1"/>
  <c r="H10" i="1" s="1"/>
  <c r="F10" i="1"/>
  <c r="I9" i="1"/>
  <c r="G9" i="1"/>
  <c r="H9" i="1" s="1"/>
  <c r="F9" i="1"/>
  <c r="I8" i="1"/>
  <c r="G8" i="1"/>
  <c r="H8" i="1" s="1"/>
  <c r="F8" i="1"/>
  <c r="I7" i="1"/>
  <c r="G7" i="1"/>
  <c r="H7" i="1" s="1"/>
  <c r="F7" i="1"/>
  <c r="I6" i="1"/>
  <c r="G6" i="1"/>
  <c r="H6" i="1" s="1"/>
  <c r="F6" i="1"/>
  <c r="I5" i="1"/>
  <c r="G5" i="1"/>
  <c r="H5" i="1" s="1"/>
  <c r="F5" i="1"/>
</calcChain>
</file>

<file path=xl/sharedStrings.xml><?xml version="1.0" encoding="utf-8"?>
<sst xmlns="http://schemas.openxmlformats.org/spreadsheetml/2006/main" count="43" uniqueCount="41">
  <si>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</si>
  <si>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</si>
  <si>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</si>
  <si>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</si>
  <si>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</si>
  <si>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</si>
  <si>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</si>
  <si>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</si>
  <si>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|m−3|</t>
  </si>
  <si>
    <t>Норма массы</t>
  </si>
  <si>
    <t>Сложный процент</t>
  </si>
  <si>
    <t>Инвестор вложил 100 000 руб. под 12% годовых на 5 лет</t>
  </si>
  <si>
    <t>Начальная сумма</t>
  </si>
  <si>
    <t>Годовая ставка</t>
  </si>
  <si>
    <t>Срок (лет)</t>
  </si>
  <si>
    <t>По формуле СТЕПЕНЬ</t>
  </si>
  <si>
    <t>По формуле EXP</t>
  </si>
  <si>
    <t>Правило 72</t>
  </si>
  <si>
    <t>Точное удвоение</t>
  </si>
  <si>
    <t>Расчет длины дуги</t>
  </si>
  <si>
    <t>Формула: L = π · R · α / 180</t>
  </si>
  <si>
    <t>Угол α (град.)</t>
  </si>
  <si>
    <t>Радиус R</t>
  </si>
  <si>
    <t>Длина дуги</t>
  </si>
  <si>
    <t>Через RADIANS</t>
  </si>
  <si>
    <t>Обратное преобразование</t>
  </si>
  <si>
    <t>Суммирование с условием</t>
  </si>
  <si>
    <t>Расчеты по массе деталей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</si>
  <si>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</si>
  <si>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</si>
  <si>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</si>
  <si>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</si>
  <si>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</si>
  <si>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</si>
  <si>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</si>
  <si>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Сумма кредита</t>
  </si>
  <si>
    <t>Срок (мес.)</t>
  </si>
  <si>
    <t>Месячная ставка</t>
  </si>
  <si>
    <t>Ежемесячный платеж</t>
  </si>
  <si>
    <t>Общая выплата</t>
  </si>
  <si>
    <t>Переплата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</si>
</sst>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₽&quot;"/>
    <numFmt numFmtId="165" formatCode="0.000\ &quot;лет&quot;"/>
    <numFmt numFmtId="166" formatCode="0\ &quot;°&quot;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4" topLeftCell="A5" activePane="bottomLeft" state="frozen"/>
      <selection pane="bottomLeft" sqref="A1:I1"/>
    </sheetView>
  </sheetViews>
  <sheetFormatPr defaultRowHeight="14.4" x14ac:dyDescent="0.3"/>
  <cols>
    <col min="1" max="1" width="10" customWidth="1"/>
    <col min="2" max="6" width="14" customWidth="1"/>
    <col min="7" max="7" width="16" customWidth="1"/>
    <col min="8" max="9" width="12" customWidth="1"/>
    <col min="11" max="11" width="16" customWidth="1"/>
    <col min="12" max="12" width="10" customWidth="1"/>
  </cols>
  <sheetData>
    <row r="1" spans="1:12" ht="18" x14ac:dyDescent="0.3">
      <c r="A1" s="15"/>
      <c r="B1" s="16"/>
      <c r="C1" s="16"/>
      <c r="D1" s="16"/>
      <c r="E1" s="16"/>
      <c r="F1" s="16"/>
      <c r="G1" s="16"/>
      <c r="H1" s="16"/>
      <c r="I1" s="16"/>
    </row>
    <row r="2" spans="1:12" x14ac:dyDescent="0.3">
      <c r="A2" s="14"/>
      <c r="B2" s="13"/>
      <c r="C2" s="13"/>
      <c r="D2" s="13"/>
      <c r="E2" s="13"/>
      <c r="F2" s="13"/>
      <c r="G2" s="13"/>
      <c r="H2" s="13"/>
      <c r="I2" s="13"/>
    </row>
    <row r="4" spans="1:12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K4" s="2" t="s">
        <v>9</v>
      </c>
      <c r="L4" s="3">
        <v>3</v>
      </c>
    </row>
    <row r="5" spans="1:12" x14ac:dyDescent="0.3">
      <c r="A5" s="4">
        <v>1</v>
      </c>
      <c r="B5" s="5">
        <v>12.5</v>
      </c>
      <c r="C5" s="5">
        <v>30</v>
      </c>
      <c r="D5" s="5">
        <v>2.4</v>
      </c>
      <c r="E5" s="5">
        <v>145</v>
      </c>
      <c r="F5" s="5">
        <f t="shared" ref="F5:F11" si="0">2*B5</f>
        <v>25</v>
      </c>
      <c r="G5" s="5">
        <f t="shared" ref="G5:G11" si="1">PI()*B5^2*C5</f>
        <v>14726.215563702155</v>
      </c>
      <c r="H5" s="5">
        <f t="shared" ref="H5:H11" si="2">SQRT(G5)</f>
        <v>121.3516195347312</v>
      </c>
      <c r="I5" s="5">
        <f t="shared" ref="I5:I11" si="3">ABS(D5-$L$4)</f>
        <v>0.60000000000000009</v>
      </c>
    </row>
    <row r="6" spans="1:12" x14ac:dyDescent="0.3">
      <c r="A6" s="4">
        <v>2</v>
      </c>
      <c r="B6" s="5">
        <v>8.3000000000000007</v>
      </c>
      <c r="C6" s="5">
        <v>25</v>
      </c>
      <c r="D6" s="5">
        <v>1.1000000000000001</v>
      </c>
      <c r="E6" s="5">
        <v>98</v>
      </c>
      <c r="F6" s="5">
        <f t="shared" si="0"/>
        <v>16.600000000000001</v>
      </c>
      <c r="G6" s="5">
        <f t="shared" si="1"/>
        <v>5410.6079476450223</v>
      </c>
      <c r="H6" s="5">
        <f t="shared" si="2"/>
        <v>73.556834812578927</v>
      </c>
      <c r="I6" s="5">
        <f t="shared" si="3"/>
        <v>1.9</v>
      </c>
    </row>
    <row r="7" spans="1:12" x14ac:dyDescent="0.3">
      <c r="A7" s="4">
        <v>3</v>
      </c>
      <c r="B7" s="5">
        <v>15.7</v>
      </c>
      <c r="C7" s="5">
        <v>40</v>
      </c>
      <c r="D7" s="5">
        <v>4</v>
      </c>
      <c r="E7" s="5">
        <v>210</v>
      </c>
      <c r="F7" s="5">
        <f t="shared" si="0"/>
        <v>31.4</v>
      </c>
      <c r="G7" s="5">
        <f t="shared" si="1"/>
        <v>30974.846927333921</v>
      </c>
      <c r="H7" s="5">
        <f t="shared" si="2"/>
        <v>175.99672419489494</v>
      </c>
      <c r="I7" s="5">
        <f t="shared" si="3"/>
        <v>1</v>
      </c>
    </row>
    <row r="8" spans="1:12" x14ac:dyDescent="0.3">
      <c r="A8" s="4">
        <v>4</v>
      </c>
      <c r="B8" s="5">
        <v>6.2</v>
      </c>
      <c r="C8" s="5">
        <v>18</v>
      </c>
      <c r="D8" s="5">
        <v>0.7</v>
      </c>
      <c r="E8" s="5">
        <v>75</v>
      </c>
      <c r="F8" s="5">
        <f t="shared" si="0"/>
        <v>12.4</v>
      </c>
      <c r="G8" s="5">
        <f t="shared" si="1"/>
        <v>2173.7307888718501</v>
      </c>
      <c r="H8" s="5">
        <f t="shared" si="2"/>
        <v>46.623285908136616</v>
      </c>
      <c r="I8" s="5">
        <f t="shared" si="3"/>
        <v>2.2999999999999998</v>
      </c>
    </row>
    <row r="9" spans="1:12" x14ac:dyDescent="0.3">
      <c r="A9" s="4">
        <v>5</v>
      </c>
      <c r="B9" s="5">
        <v>20.100000000000001</v>
      </c>
      <c r="C9" s="5">
        <v>55</v>
      </c>
      <c r="D9" s="5">
        <v>6.5</v>
      </c>
      <c r="E9" s="5">
        <v>320</v>
      </c>
      <c r="F9" s="5">
        <f t="shared" si="0"/>
        <v>40.200000000000003</v>
      </c>
      <c r="G9" s="5">
        <f t="shared" si="1"/>
        <v>69807.916638724681</v>
      </c>
      <c r="H9" s="5">
        <f t="shared" si="2"/>
        <v>264.21187830740064</v>
      </c>
      <c r="I9" s="5">
        <f t="shared" si="3"/>
        <v>3.5</v>
      </c>
    </row>
    <row r="10" spans="1:12" x14ac:dyDescent="0.3">
      <c r="A10" s="4">
        <v>6</v>
      </c>
      <c r="B10" s="5">
        <v>10.4</v>
      </c>
      <c r="C10" s="5">
        <v>28</v>
      </c>
      <c r="D10" s="5">
        <v>1.9</v>
      </c>
      <c r="E10" s="5">
        <v>130</v>
      </c>
      <c r="F10" s="5">
        <f t="shared" si="0"/>
        <v>20.8</v>
      </c>
      <c r="G10" s="5">
        <f t="shared" si="1"/>
        <v>9514.250519543617</v>
      </c>
      <c r="H10" s="5">
        <f t="shared" si="2"/>
        <v>97.541019676562826</v>
      </c>
      <c r="I10" s="5">
        <f t="shared" si="3"/>
        <v>1.1000000000000001</v>
      </c>
    </row>
    <row r="11" spans="1:12" x14ac:dyDescent="0.3">
      <c r="A11" s="4">
        <v>7</v>
      </c>
      <c r="B11" s="5">
        <v>18.899999999999999</v>
      </c>
      <c r="C11" s="5">
        <v>48</v>
      </c>
      <c r="D11" s="5">
        <v>5.2</v>
      </c>
      <c r="E11" s="5">
        <v>275</v>
      </c>
      <c r="F11" s="5">
        <f t="shared" si="0"/>
        <v>37.799999999999997</v>
      </c>
      <c r="G11" s="5">
        <f t="shared" si="1"/>
        <v>53865.998965862877</v>
      </c>
      <c r="H11" s="5">
        <f t="shared" si="2"/>
        <v>232.09049736226359</v>
      </c>
      <c r="I11" s="5">
        <f t="shared" si="3"/>
        <v>2.2000000000000002</v>
      </c>
    </row>
  </sheetData>
  <mergeCells count="2">
    <mergeCell ref="A1:I1"/>
    <mergeCell ref="A2:I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9" sqref="B9"/>
    </sheetView>
  </sheetViews>
  <sheetFormatPr defaultRowHeight="14.4" x14ac:dyDescent="0.3"/>
  <cols>
    <col min="1" max="1" width="24" customWidth="1"/>
    <col min="2" max="2" width="18" customWidth="1"/>
  </cols>
  <sheetData>
    <row r="1" spans="1:4" x14ac:dyDescent="0.3">
      <c r="A1" s="12" t="s">
        <v>10</v>
      </c>
      <c r="B1" s="13"/>
      <c r="C1" s="13"/>
      <c r="D1" s="13"/>
    </row>
    <row r="2" spans="1:4" x14ac:dyDescent="0.3">
      <c r="A2" s="14" t="s">
        <v>11</v>
      </c>
      <c r="B2" s="13"/>
      <c r="C2" s="13"/>
      <c r="D2" s="13"/>
    </row>
    <row r="4" spans="1:4" x14ac:dyDescent="0.3">
      <c r="A4" s="2" t="s">
        <v>12</v>
      </c>
      <c r="B4" s="6">
        <v>100000</v>
      </c>
    </row>
    <row r="5" spans="1:4" x14ac:dyDescent="0.3">
      <c r="A5" s="2" t="s">
        <v>13</v>
      </c>
      <c r="B5" s="7">
        <v>0.12</v>
      </c>
    </row>
    <row r="6" spans="1:4" x14ac:dyDescent="0.3">
      <c r="A6" s="2" t="s">
        <v>14</v>
      </c>
      <c r="B6" s="4">
        <v>5</v>
      </c>
    </row>
    <row r="7" spans="1:4" x14ac:dyDescent="0.3">
      <c r="A7" s="2"/>
      <c r="B7" s="4"/>
    </row>
    <row r="8" spans="1:4" x14ac:dyDescent="0.3">
      <c r="A8" s="2" t="s">
        <v>15</v>
      </c>
      <c r="B8" s="6">
        <f>B4*(1+B5)^B6</f>
        <v>176234.16832000006</v>
      </c>
    </row>
    <row r="9" spans="1:4" x14ac:dyDescent="0.3">
      <c r="A9" s="2" t="s">
        <v>16</v>
      </c>
      <c r="B9" s="6">
        <f>B4*EXP(B5*B6)</f>
        <v>182211.88003905088</v>
      </c>
    </row>
    <row r="10" spans="1:4" x14ac:dyDescent="0.3">
      <c r="A10" s="2"/>
      <c r="B10" s="4"/>
    </row>
    <row r="11" spans="1:4" x14ac:dyDescent="0.3">
      <c r="A11" s="2" t="s">
        <v>17</v>
      </c>
      <c r="B11" s="8">
        <f>72/(B5*100)</f>
        <v>6</v>
      </c>
    </row>
    <row r="12" spans="1:4" x14ac:dyDescent="0.3">
      <c r="A12" s="2" t="s">
        <v>18</v>
      </c>
      <c r="B12" s="8">
        <f>LN(2)/LN(1+B5)</f>
        <v>6.1162553741996994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"/>
    </sheetView>
  </sheetViews>
  <sheetFormatPr defaultRowHeight="14.4" x14ac:dyDescent="0.3"/>
  <cols>
    <col min="1" max="1" width="14" customWidth="1"/>
    <col min="2" max="2" width="16" customWidth="1"/>
    <col min="3" max="3" width="18" customWidth="1"/>
  </cols>
  <sheetData>
    <row r="1" spans="1:4" x14ac:dyDescent="0.3">
      <c r="A1" s="12" t="s">
        <v>19</v>
      </c>
      <c r="B1" s="13"/>
      <c r="C1" s="13"/>
      <c r="D1" s="13"/>
    </row>
    <row r="2" spans="1:4" x14ac:dyDescent="0.3">
      <c r="A2" s="14" t="s">
        <v>20</v>
      </c>
      <c r="B2" s="13"/>
      <c r="C2" s="13"/>
      <c r="D2" s="13"/>
    </row>
    <row r="4" spans="1:4" x14ac:dyDescent="0.3">
      <c r="A4" s="2" t="s">
        <v>21</v>
      </c>
      <c r="B4" s="9">
        <v>60</v>
      </c>
    </row>
    <row r="6" spans="1:4" x14ac:dyDescent="0.3">
      <c r="A6" s="1" t="s">
        <v>22</v>
      </c>
      <c r="B6" s="1" t="s">
        <v>23</v>
      </c>
      <c r="C6" s="1" t="s">
        <v>24</v>
      </c>
    </row>
    <row r="7" spans="1:4" x14ac:dyDescent="0.3">
      <c r="A7" s="5">
        <v>12.5</v>
      </c>
      <c r="B7" s="5">
        <f t="shared" ref="B7:B13" si="0">PI()*A7*$B$4/180</f>
        <v>13.089969389957471</v>
      </c>
      <c r="C7" s="5">
        <f t="shared" ref="C7:C13" si="1">A7*RADIANS($B$4)</f>
        <v>13.089969389957471</v>
      </c>
    </row>
    <row r="8" spans="1:4" x14ac:dyDescent="0.3">
      <c r="A8" s="5">
        <v>8.3000000000000007</v>
      </c>
      <c r="B8" s="5">
        <f t="shared" si="0"/>
        <v>8.6917396749317621</v>
      </c>
      <c r="C8" s="5">
        <f t="shared" si="1"/>
        <v>8.6917396749317604</v>
      </c>
    </row>
    <row r="9" spans="1:4" x14ac:dyDescent="0.3">
      <c r="A9" s="5">
        <v>15.7</v>
      </c>
      <c r="B9" s="5">
        <f t="shared" si="0"/>
        <v>16.441001553786581</v>
      </c>
      <c r="C9" s="5">
        <f t="shared" si="1"/>
        <v>16.441001553786581</v>
      </c>
    </row>
    <row r="10" spans="1:4" x14ac:dyDescent="0.3">
      <c r="A10" s="5">
        <v>6.2</v>
      </c>
      <c r="B10" s="5">
        <f t="shared" si="0"/>
        <v>6.4926248174189052</v>
      </c>
      <c r="C10" s="5">
        <f t="shared" si="1"/>
        <v>6.4926248174189052</v>
      </c>
    </row>
    <row r="11" spans="1:4" x14ac:dyDescent="0.3">
      <c r="A11" s="5">
        <v>20.100000000000001</v>
      </c>
      <c r="B11" s="5">
        <f t="shared" si="0"/>
        <v>21.048670779051616</v>
      </c>
      <c r="C11" s="5">
        <f t="shared" si="1"/>
        <v>21.048670779051612</v>
      </c>
    </row>
    <row r="12" spans="1:4" x14ac:dyDescent="0.3">
      <c r="A12" s="5">
        <v>10.4</v>
      </c>
      <c r="B12" s="5">
        <f t="shared" si="0"/>
        <v>10.890854532444616</v>
      </c>
      <c r="C12" s="5">
        <f t="shared" si="1"/>
        <v>10.890854532444616</v>
      </c>
    </row>
    <row r="13" spans="1:4" x14ac:dyDescent="0.3">
      <c r="A13" s="5">
        <v>18.899999999999999</v>
      </c>
      <c r="B13" s="5">
        <f t="shared" si="0"/>
        <v>19.792033717615695</v>
      </c>
      <c r="C13" s="5">
        <f t="shared" si="1"/>
        <v>19.792033717615695</v>
      </c>
    </row>
    <row r="15" spans="1:4" ht="43.2" x14ac:dyDescent="0.3">
      <c r="A15" s="2" t="s">
        <v>25</v>
      </c>
      <c r="B15" s="10">
        <f>DEGREES(PI()/3)</f>
        <v>59.999999999999993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sqref="A1:C1"/>
    </sheetView>
  </sheetViews>
  <sheetFormatPr defaultRowHeight="14.4" x14ac:dyDescent="0.3"/>
  <cols>
    <col min="1" max="1" width="30" customWidth="1"/>
    <col min="2" max="2" width="16" customWidth="1"/>
  </cols>
  <sheetData>
    <row r="1" spans="1:3" x14ac:dyDescent="0.3">
      <c r="A1" s="12" t="s">
        <v>26</v>
      </c>
      <c r="B1" s="13"/>
      <c r="C1" s="13"/>
    </row>
    <row r="2" spans="1:3" x14ac:dyDescent="0.3">
      <c r="A2" s="14" t="s">
        <v>27</v>
      </c>
      <c r="B2" s="13"/>
      <c r="C2" s="13"/>
    </row>
    <row r="4" spans="1:3" x14ac:dyDescent="0.3">
      <c r="A4" s="2" t="s">
        <v>28</v>
      </c>
      <c r="B4" s="5">
        <f>SUM(Математика!D5:D11)</f>
        <v>21.799999999999997</v>
      </c>
    </row>
    <row r="5" spans="1:3" x14ac:dyDescent="0.3">
      <c r="A5" s="2" t="s">
        <v>29</v>
      </c>
      <c r="B5" s="5">
        <f>SUMIF(Математика!D5:D11,"&gt;2",Математика!D5:D11)</f>
        <v>18.100000000000001</v>
      </c>
    </row>
    <row r="6" spans="1:3" x14ac:dyDescent="0.3">
      <c r="A6" s="2" t="s">
        <v>30</v>
      </c>
      <c r="B6" s="5">
        <f>SUMPRODUCT(Математика!D5:D11,Математика!E5:E11)/SUM(Математика!E5:E11)</f>
        <v>4.0744612928970474</v>
      </c>
    </row>
    <row r="7" spans="1:3" x14ac:dyDescent="0.3">
      <c r="A7" s="2" t="s">
        <v>31</v>
      </c>
      <c r="B7" s="5">
        <f>COUNTIF(Математика!D5:D11,"&gt;2")</f>
        <v>4</v>
      </c>
    </row>
    <row r="8" spans="1:3" x14ac:dyDescent="0.3">
      <c r="A8" s="2" t="s">
        <v>32</v>
      </c>
      <c r="B8" s="5">
        <f>AVERAGE(Математика!D5:D11)</f>
        <v>3.1142857142857139</v>
      </c>
    </row>
    <row r="9" spans="1:3" x14ac:dyDescent="0.3">
      <c r="A9" s="2" t="s">
        <v>33</v>
      </c>
      <c r="B9" s="5">
        <f>MAX(Математика!D5:D11)</f>
        <v>6.5</v>
      </c>
    </row>
    <row r="10" spans="1:3" x14ac:dyDescent="0.3">
      <c r="A10" s="2" t="s">
        <v>34</v>
      </c>
      <c r="B10" s="5">
        <f>MIN(Математика!D5:D11)</f>
        <v>0.7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18" sqref="F18"/>
    </sheetView>
  </sheetViews>
  <sheetFormatPr defaultRowHeight="14.4" x14ac:dyDescent="0.3"/>
  <cols>
    <col min="1" max="1" width="24" customWidth="1"/>
    <col min="2" max="2" width="18" customWidth="1"/>
  </cols>
  <sheetData>
    <row r="1" spans="1:4" ht="18" x14ac:dyDescent="0.3">
      <c r="A1" s="12"/>
      <c r="B1" s="13"/>
      <c r="C1" s="13"/>
      <c r="D1" s="13"/>
    </row>
    <row r="2" spans="1:4" x14ac:dyDescent="0.3">
      <c r="A2" s="14"/>
      <c r="B2" s="13"/>
      <c r="C2" s="13"/>
      <c r="D2" s="13"/>
    </row>
    <row r="4" spans="1:4" x14ac:dyDescent="0.3">
      <c r="A4" s="2" t="s">
        <v>35</v>
      </c>
      <c r="B4" s="6">
        <v>500000</v>
      </c>
    </row>
    <row r="5" spans="1:4" x14ac:dyDescent="0.3">
      <c r="A5" s="2" t="s">
        <v>13</v>
      </c>
      <c r="B5" s="7">
        <v>0.18</v>
      </c>
    </row>
    <row r="6" spans="1:4" x14ac:dyDescent="0.3">
      <c r="A6" s="2" t="s">
        <v>14</v>
      </c>
      <c r="B6" s="4">
        <v>3</v>
      </c>
    </row>
    <row r="7" spans="1:4" x14ac:dyDescent="0.3">
      <c r="A7" s="2" t="s">
        <v>36</v>
      </c>
      <c r="B7" s="4">
        <f>B6*12</f>
        <v>36</v>
      </c>
    </row>
    <row r="8" spans="1:4" x14ac:dyDescent="0.3">
      <c r="A8" s="2" t="s">
        <v>37</v>
      </c>
      <c r="B8" s="11">
        <f>B5/12</f>
        <v>1.4999999999999999E-2</v>
      </c>
    </row>
    <row r="9" spans="1:4" x14ac:dyDescent="0.3">
      <c r="A9" s="2"/>
      <c r="B9" s="4"/>
    </row>
    <row r="10" spans="1:4" x14ac:dyDescent="0.3">
      <c r="A10" s="2" t="s">
        <v>38</v>
      </c>
      <c r="B10" s="6">
        <f>PMT(B8,B7,-B4)</f>
        <v>18076.197767958416</v>
      </c>
    </row>
    <row r="11" spans="1:4" x14ac:dyDescent="0.3">
      <c r="A11" s="2" t="s">
        <v>39</v>
      </c>
      <c r="B11" s="6">
        <f>B10*B7</f>
        <v>650743.11964650301</v>
      </c>
    </row>
    <row r="12" spans="1:4" x14ac:dyDescent="0.3">
      <c r="A12" s="2" t="s">
        <v>40</v>
      </c>
      <c r="B12" s="6">
        <f>B11-B4</f>
        <v>150743.11964650301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Математика</vt:lpstr>
      <vt:lpstr>Финансы</vt:lpstr>
      <vt:lpstr>Тригонометрия</vt:lpstr>
      <vt:lpstr>Итоги</vt:lpstr>
      <vt:lpstr>Кредит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2026-09-23T10:32:18Z</dcterms:created>
  <dcterms:modified xsi:type="dcterms:W3CDTF">2026-09-23T10:40:00Z</dcterms:modified>
</cp:coreProperties>
</file>