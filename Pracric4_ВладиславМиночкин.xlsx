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46080" windowHeight="22152"/>
  </bookViews>
  <sheets>
    <sheet name="Зарплат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B15" i="1" l="1"/>
  <c r="E8" i="2"/>
  <c r="G8" i="2" s="1"/>
  <c r="E7" i="2"/>
  <c r="G7" i="2" s="1"/>
  <c r="E6" i="2"/>
  <c r="G6" i="2" s="1"/>
  <c r="E5" i="2"/>
  <c r="G5" i="2" s="1"/>
  <c r="B11" i="1"/>
  <c r="D9" i="1"/>
  <c r="J8" i="1"/>
  <c r="I8" i="1"/>
  <c r="D8" i="1"/>
  <c r="E7" i="1"/>
  <c r="F7" i="1" s="1"/>
  <c r="D7" i="1"/>
  <c r="D6" i="1"/>
  <c r="D5" i="1"/>
  <c r="D11" i="1" s="1"/>
  <c r="F5" i="2" l="1"/>
  <c r="E8" i="1"/>
  <c r="F8" i="1" s="1"/>
  <c r="F6" i="2"/>
  <c r="E9" i="1"/>
  <c r="F9" i="1" s="1"/>
  <c r="F7" i="2"/>
  <c r="E5" i="1"/>
  <c r="F5" i="1"/>
  <c r="F8" i="2"/>
  <c r="E6" i="1"/>
  <c r="F6" i="1" s="1"/>
  <c r="B14" i="1" l="1"/>
  <c r="B13" i="1"/>
  <c r="F11" i="1"/>
  <c r="E11" i="1"/>
  <c r="F10" i="2"/>
</calcChain>
</file>

<file path=xl/sharedStrings.xml><?xml version="1.0" encoding="utf-8"?>
<sst xmlns="http://schemas.openxmlformats.org/spreadsheetml/2006/main" count="33" uniqueCount="32">
  <si>
    <t>ФИО сотрудника</t>
  </si>
  <si>
    <t>Оклад (руб.)</t>
  </si>
  <si>
    <t>Премия (%)</t>
  </si>
  <si>
    <t>Премия (руб.)</t>
  </si>
  <si>
    <t>НДФЛ</t>
  </si>
  <si>
    <t>К выдаче</t>
  </si>
  <si>
    <t>№ п/п</t>
  </si>
  <si>
    <t>Ставка НДФЛ</t>
  </si>
  <si>
    <t>Иванов И.И.</t>
  </si>
  <si>
    <t>Коэффициент</t>
  </si>
  <si>
    <t>Петров П.П.</t>
  </si>
  <si>
    <t>Сидоров С.С.</t>
  </si>
  <si>
    <t>Пример абсолютной ссылки</t>
  </si>
  <si>
    <t>Результат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</si>
  <si>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</si>
  <si>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</si>
  <si>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</si>
  <si>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</si>
  <si>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</si>
  <si>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</si>
  <si>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</si>
  <si>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</si>
  <si>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</si>
  <si>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</si>
  <si>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</si>
  <si>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</si>
  <si>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20%</t>
  </si>
  <si>
    <t>Ставка НДС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</si>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</sst>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4" width="16" customWidth="1"/>
    <col min="5" max="6" width="14" customWidth="1"/>
    <col min="7" max="7" width="9" customWidth="1"/>
    <col min="9" max="9" width="24" customWidth="1"/>
    <col min="10" max="10" width="14" customWidth="1"/>
  </cols>
  <sheetData>
    <row r="1" spans="1:10" ht="18" x14ac:dyDescent="0.3">
      <c r="A1" s="10"/>
      <c r="B1" s="9"/>
      <c r="C1" s="9"/>
      <c r="D1" s="9"/>
      <c r="E1" s="9"/>
      <c r="F1" s="9"/>
      <c r="G1" s="9"/>
    </row>
    <row r="2" spans="1:10" x14ac:dyDescent="0.3">
      <c r="A2" s="8"/>
      <c r="B2" s="9"/>
      <c r="C2" s="9"/>
      <c r="D2" s="9"/>
      <c r="E2" s="9"/>
      <c r="F2" s="9"/>
      <c r="G2" s="9"/>
    </row>
    <row r="4" spans="1:10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I4" s="2" t="s">
        <v>7</v>
      </c>
      <c r="J4" s="3">
        <v>0.15</v>
      </c>
    </row>
    <row r="5" spans="1:10" x14ac:dyDescent="0.3">
      <c r="A5" s="4" t="s">
        <v>8</v>
      </c>
      <c r="B5" s="5">
        <v>50000</v>
      </c>
      <c r="C5" s="4">
        <v>20</v>
      </c>
      <c r="D5" s="5">
        <f>B5*C5/100</f>
        <v>10000</v>
      </c>
      <c r="E5" s="5">
        <f>(B5+D5)*$J$4</f>
        <v>9000</v>
      </c>
      <c r="F5" s="5">
        <f>B5+D5-E5</f>
        <v>51000</v>
      </c>
      <c r="G5" s="4">
        <v>1</v>
      </c>
      <c r="I5" s="2" t="s">
        <v>9</v>
      </c>
      <c r="J5" s="6">
        <v>1.5</v>
      </c>
    </row>
    <row r="6" spans="1:10" x14ac:dyDescent="0.3">
      <c r="A6" s="4" t="s">
        <v>10</v>
      </c>
      <c r="B6" s="5">
        <v>45000</v>
      </c>
      <c r="C6" s="4">
        <v>15</v>
      </c>
      <c r="D6" s="5">
        <f>B6*C6/100</f>
        <v>6750</v>
      </c>
      <c r="E6" s="5">
        <f>(B6+D6)*$J$4</f>
        <v>7762.5</v>
      </c>
      <c r="F6" s="5">
        <f>B6+D6-E6</f>
        <v>43987.5</v>
      </c>
      <c r="G6" s="4">
        <v>2</v>
      </c>
    </row>
    <row r="7" spans="1:10" ht="28.8" x14ac:dyDescent="0.3">
      <c r="A7" s="4" t="s">
        <v>11</v>
      </c>
      <c r="B7" s="5">
        <v>62000</v>
      </c>
      <c r="C7" s="4">
        <v>25</v>
      </c>
      <c r="D7" s="5">
        <f>B7*C7/100</f>
        <v>15500</v>
      </c>
      <c r="E7" s="5">
        <f>(B7+D7)*$J$4</f>
        <v>11625</v>
      </c>
      <c r="F7" s="5">
        <f>B7+D7-E7</f>
        <v>65875</v>
      </c>
      <c r="G7" s="4">
        <v>3</v>
      </c>
      <c r="I7" s="2" t="s">
        <v>12</v>
      </c>
      <c r="J7" s="2" t="s">
        <v>13</v>
      </c>
    </row>
    <row r="8" spans="1:10" x14ac:dyDescent="0.3">
      <c r="A8" s="4" t="s">
        <v>14</v>
      </c>
      <c r="B8" s="5">
        <v>55000</v>
      </c>
      <c r="C8" s="4">
        <v>10</v>
      </c>
      <c r="D8" s="5">
        <f>B8*C8/100</f>
        <v>5500</v>
      </c>
      <c r="E8" s="5">
        <f>(B8+D8)*$J$4</f>
        <v>9075</v>
      </c>
      <c r="F8" s="5">
        <f>B8+D8-E8</f>
        <v>51425</v>
      </c>
      <c r="G8" s="4">
        <v>4</v>
      </c>
      <c r="I8" s="4">
        <f>B5*$J$5</f>
        <v>75000</v>
      </c>
      <c r="J8" s="4">
        <f>B5*$J$5</f>
        <v>75000</v>
      </c>
    </row>
    <row r="9" spans="1:10" x14ac:dyDescent="0.3">
      <c r="A9" s="4" t="s">
        <v>15</v>
      </c>
      <c r="B9" s="5">
        <v>40000</v>
      </c>
      <c r="C9" s="4">
        <v>30</v>
      </c>
      <c r="D9" s="5">
        <f>B9*C9/100</f>
        <v>12000</v>
      </c>
      <c r="E9" s="5">
        <f>(B9+D9)*$J$4</f>
        <v>7800</v>
      </c>
      <c r="F9" s="5">
        <f>B9+D9-E9</f>
        <v>44200</v>
      </c>
      <c r="G9" s="4">
        <v>5</v>
      </c>
    </row>
    <row r="11" spans="1:10" x14ac:dyDescent="0.3">
      <c r="A11" s="7" t="s">
        <v>16</v>
      </c>
      <c r="B11" s="5">
        <f>SUM(B5:B9)</f>
        <v>252000</v>
      </c>
      <c r="C11" s="4"/>
      <c r="D11" s="5">
        <f>SUM(D5:D9)</f>
        <v>49750</v>
      </c>
      <c r="E11" s="5">
        <f>SUM(E5:E9)</f>
        <v>45262.5</v>
      </c>
      <c r="F11" s="5">
        <f>SUM(F5:F9)</f>
        <v>256487.5</v>
      </c>
    </row>
    <row r="13" spans="1:10" x14ac:dyDescent="0.3">
      <c r="A13" s="2" t="s">
        <v>17</v>
      </c>
      <c r="B13" s="5">
        <f>AVERAGE(F5:F9)</f>
        <v>51297.5</v>
      </c>
    </row>
    <row r="14" spans="1:10" x14ac:dyDescent="0.3">
      <c r="A14" s="2" t="s">
        <v>18</v>
      </c>
      <c r="B14" s="5">
        <f>MAX(F5:F9)</f>
        <v>65875</v>
      </c>
    </row>
    <row r="15" spans="1:10" x14ac:dyDescent="0.3">
      <c r="A15" s="2" t="s">
        <v>19</v>
      </c>
      <c r="B15" s="5">
        <f>MIN(F5:F9)</f>
        <v>43987.5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 activeCell="A2" sqref="A2:G2"/>
    </sheetView>
  </sheetViews>
  <sheetFormatPr defaultRowHeight="14.4" x14ac:dyDescent="0.3"/>
  <cols>
    <col min="1" max="1" width="18" customWidth="1"/>
    <col min="2" max="2" width="14" customWidth="1"/>
    <col min="3" max="3" width="10" customWidth="1"/>
    <col min="4" max="4" width="12" customWidth="1"/>
    <col min="5" max="5" width="14" customWidth="1"/>
    <col min="6" max="6" width="18" customWidth="1"/>
    <col min="7" max="7" width="14" customWidth="1"/>
    <col min="9" max="9" width="14" customWidth="1"/>
    <col min="10" max="10" width="12" customWidth="1"/>
  </cols>
  <sheetData>
    <row r="1" spans="1:10" ht="18" x14ac:dyDescent="0.3">
      <c r="A1" s="10"/>
      <c r="B1" s="9"/>
      <c r="C1" s="9"/>
      <c r="D1" s="9"/>
      <c r="E1" s="9"/>
      <c r="F1" s="9"/>
      <c r="G1" s="9"/>
    </row>
    <row r="2" spans="1:10" x14ac:dyDescent="0.3">
      <c r="A2" s="8"/>
      <c r="B2" s="9"/>
      <c r="C2" s="9"/>
      <c r="D2" s="9"/>
      <c r="E2" s="9"/>
      <c r="F2" s="9"/>
      <c r="G2" s="9"/>
    </row>
    <row r="4" spans="1:10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I4" s="2" t="s">
        <v>27</v>
      </c>
      <c r="J4" s="3">
        <v>0.2</v>
      </c>
    </row>
    <row r="5" spans="1:10" x14ac:dyDescent="0.3">
      <c r="A5" s="4" t="s">
        <v>28</v>
      </c>
      <c r="B5" s="5">
        <v>45000</v>
      </c>
      <c r="C5" s="4">
        <v>5</v>
      </c>
      <c r="D5" s="4">
        <v>5</v>
      </c>
      <c r="E5" s="5">
        <f>B5*C5</f>
        <v>225000</v>
      </c>
      <c r="F5" s="5">
        <f>E5*(1-D5/100)</f>
        <v>213750</v>
      </c>
      <c r="G5" s="5">
        <f>E5*$J$4</f>
        <v>45000</v>
      </c>
    </row>
    <row r="6" spans="1:10" x14ac:dyDescent="0.3">
      <c r="A6" s="4" t="s">
        <v>29</v>
      </c>
      <c r="B6" s="5">
        <v>18000</v>
      </c>
      <c r="C6" s="4">
        <v>10</v>
      </c>
      <c r="D6" s="4">
        <v>3</v>
      </c>
      <c r="E6" s="5">
        <f>B6*C6</f>
        <v>180000</v>
      </c>
      <c r="F6" s="5">
        <f>E6*(1-D6/100)</f>
        <v>174600</v>
      </c>
      <c r="G6" s="5">
        <f>E6*$J$4</f>
        <v>36000</v>
      </c>
    </row>
    <row r="7" spans="1:10" x14ac:dyDescent="0.3">
      <c r="A7" s="4" t="s">
        <v>30</v>
      </c>
      <c r="B7" s="5">
        <v>1500</v>
      </c>
      <c r="C7" s="4">
        <v>25</v>
      </c>
      <c r="D7" s="4">
        <v>10</v>
      </c>
      <c r="E7" s="5">
        <f>B7*C7</f>
        <v>37500</v>
      </c>
      <c r="F7" s="5">
        <f>E7*(1-D7/100)</f>
        <v>33750</v>
      </c>
      <c r="G7" s="5">
        <f>E7*$J$4</f>
        <v>7500</v>
      </c>
    </row>
    <row r="8" spans="1:10" x14ac:dyDescent="0.3">
      <c r="A8" s="4" t="s">
        <v>31</v>
      </c>
      <c r="B8" s="5">
        <v>800</v>
      </c>
      <c r="C8" s="4">
        <v>30</v>
      </c>
      <c r="D8" s="4">
        <v>7</v>
      </c>
      <c r="E8" s="5">
        <f>B8*C8</f>
        <v>24000</v>
      </c>
      <c r="F8" s="5">
        <f>E8*(1-D8/100)</f>
        <v>22320</v>
      </c>
      <c r="G8" s="5">
        <f>E8*$J$4</f>
        <v>4800</v>
      </c>
    </row>
    <row r="10" spans="1:10" x14ac:dyDescent="0.3">
      <c r="A10" s="7" t="s">
        <v>16</v>
      </c>
      <c r="B10" s="4"/>
      <c r="C10" s="4"/>
      <c r="D10" s="4"/>
      <c r="E10" s="4"/>
      <c r="F10" s="5">
        <f>SUM(F5:F8)</f>
        <v>444420</v>
      </c>
      <c r="G10" s="4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2026-09-23T10:32:18Z</dcterms:created>
  <dcterms:modified xsi:type="dcterms:W3CDTF">2026-09-23T10:41:21Z</dcterms:modified>
</cp:coreProperties>
</file>